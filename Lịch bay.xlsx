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ING\Web\ProjectsHTML\Flight-Time\"/>
    </mc:Choice>
  </mc:AlternateContent>
  <xr:revisionPtr revIDLastSave="0" documentId="13_ncr:1_{E3BD2EE8-720F-489F-B02B-0E28866B5B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I7" i="1"/>
  <c r="I5" i="1"/>
  <c r="I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4" i="1"/>
</calcChain>
</file>

<file path=xl/sharedStrings.xml><?xml version="1.0" encoding="utf-8"?>
<sst xmlns="http://schemas.openxmlformats.org/spreadsheetml/2006/main" count="29" uniqueCount="29">
  <si>
    <t>STT</t>
  </si>
  <si>
    <t>Họ và tên</t>
  </si>
  <si>
    <t>Bài bay</t>
  </si>
  <si>
    <t>Thời gian giãn cách</t>
  </si>
  <si>
    <t>Chuyến gần nhất</t>
  </si>
  <si>
    <t xml:space="preserve">Chuyến tiếp theo </t>
  </si>
  <si>
    <t>Nguyễn Văn 1</t>
  </si>
  <si>
    <t>Nguyễn Văn 2</t>
  </si>
  <si>
    <t>Nguyễn Văn 3</t>
  </si>
  <si>
    <t>Nguyễn Văn 4</t>
  </si>
  <si>
    <t>Nguyễn Văn 5</t>
  </si>
  <si>
    <t>Nguyễn Văn 6</t>
  </si>
  <si>
    <t>Nguyễn Văn 7</t>
  </si>
  <si>
    <t>Nguyễn Văn 8</t>
  </si>
  <si>
    <t>Nguyễn Văn 9</t>
  </si>
  <si>
    <t>Nguyễn Văn 10</t>
  </si>
  <si>
    <t>Nguyễn Văn 11</t>
  </si>
  <si>
    <t>Nguyễn Văn 12</t>
  </si>
  <si>
    <t>Nguyễn Văn 13</t>
  </si>
  <si>
    <t>Nguyễn Văn 14</t>
  </si>
  <si>
    <t>Nguyễn Văn 15</t>
  </si>
  <si>
    <t>Nguyễn Văn 16</t>
  </si>
  <si>
    <t>Nguyễn Văn 17</t>
  </si>
  <si>
    <t>Nguyễn Văn 18</t>
  </si>
  <si>
    <t>Nguyễn Văn 19</t>
  </si>
  <si>
    <t>Nguyễn Văn 20</t>
  </si>
  <si>
    <t>Hôm nay (+- ngày)</t>
  </si>
  <si>
    <t>Ngày kiểm tra</t>
  </si>
  <si>
    <t>Ngày kiểm tra (+-ngày)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</si>
</sst>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L23"/>
  <sheetViews>
    <sheetView tabSelected="1" zoomScaleNormal="100" workbookViewId="0">
      <selection activeCell="O7" sqref="O7"/>
    </sheetView>
  </sheetViews>
  <sheetFormatPr defaultRowHeight="14.4" x14ac:dyDescent="0.3"/>
  <cols>
    <col min="4" max="4" width="6.6640625" style="2" customWidth="1"/>
    <col min="5" max="5" width="14.77734375" customWidth="1"/>
    <col min="6" max="6" width="7.77734375" style="1" customWidth="1"/>
    <col min="7" max="7" width="8.77734375" style="1" customWidth="1"/>
    <col min="8" max="8" width="11.21875" customWidth="1"/>
    <col min="9" max="9" width="12.109375" customWidth="1"/>
    <col min="10" max="10" width="9.88671875" customWidth="1"/>
    <col min="11" max="11" width="12.88671875" customWidth="1"/>
    <col min="12" max="12" width="13" customWidth="1"/>
  </cols>
  <sheetData>
    <row r="3" spans="4:12" s="3" customFormat="1" ht="28.8" x14ac:dyDescent="0.3"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26</v>
      </c>
      <c r="K3" s="4" t="s">
        <v>27</v>
      </c>
      <c r="L3" s="4" t="s">
        <v>28</v>
      </c>
    </row>
    <row r="4" spans="4:12" x14ac:dyDescent="0.3">
      <c r="D4" s="5">
        <v>1</v>
      </c>
      <c r="E4" s="6" t="s">
        <v>6</v>
      </c>
      <c r="F4" s="7">
        <v>1</v>
      </c>
      <c r="G4" s="7">
        <v>30</v>
      </c>
      <c r="H4" s="8">
        <v>46147</v>
      </c>
      <c r="I4" s="8">
        <f>H4+G4</f>
        <v>46177</v>
      </c>
      <c r="J4" s="5" t="str">
        <f ca="1">IF(TODAY()&lt;I4,"+ "&amp;(I4-TODAY()), "– "&amp;(TODAY()-I4))</f>
        <v>– 26</v>
      </c>
      <c r="K4" s="8">
        <v>46174</v>
      </c>
      <c r="L4" s="5" t="str">
        <f>IF(K4&lt;I4,"+ "&amp;(I4-K4), "– "&amp;(K4-I4))</f>
        <v>+ 3</v>
      </c>
    </row>
    <row r="5" spans="4:12" x14ac:dyDescent="0.3">
      <c r="D5" s="5">
        <v>2</v>
      </c>
      <c r="E5" s="6" t="s">
        <v>7</v>
      </c>
      <c r="F5" s="7">
        <v>2</v>
      </c>
      <c r="G5" s="7">
        <v>31</v>
      </c>
      <c r="H5" s="8">
        <v>46193</v>
      </c>
      <c r="I5" s="8">
        <f t="shared" ref="I5:I23" si="0">H5+G5</f>
        <v>46224</v>
      </c>
      <c r="J5" s="5" t="str">
        <f t="shared" ref="J5:J23" ca="1" si="1">IF(TODAY()&lt;I5,"+ "&amp;(I5-TODAY()), "– "&amp;(TODAY()-I5))</f>
        <v>+ 21</v>
      </c>
      <c r="K5" s="8">
        <v>46175</v>
      </c>
      <c r="L5" s="5" t="str">
        <f t="shared" ref="L5:L23" si="2">IF(K5&lt;I5,"+ "&amp;(I5-K5), "– "&amp;(K5-I5))</f>
        <v>+ 49</v>
      </c>
    </row>
    <row r="6" spans="4:12" x14ac:dyDescent="0.3">
      <c r="D6" s="5">
        <v>3</v>
      </c>
      <c r="E6" s="6" t="s">
        <v>8</v>
      </c>
      <c r="F6" s="7">
        <v>3</v>
      </c>
      <c r="G6" s="7">
        <v>32</v>
      </c>
      <c r="H6" s="8">
        <v>46194</v>
      </c>
      <c r="I6" s="8">
        <f t="shared" si="0"/>
        <v>46226</v>
      </c>
      <c r="J6" s="5" t="str">
        <f t="shared" ca="1" si="1"/>
        <v>+ 23</v>
      </c>
      <c r="K6" s="8">
        <v>46176</v>
      </c>
      <c r="L6" s="5" t="str">
        <f t="shared" si="2"/>
        <v>+ 50</v>
      </c>
    </row>
    <row r="7" spans="4:12" x14ac:dyDescent="0.3">
      <c r="D7" s="5">
        <v>4</v>
      </c>
      <c r="E7" s="6" t="s">
        <v>9</v>
      </c>
      <c r="F7" s="7">
        <v>4</v>
      </c>
      <c r="G7" s="7">
        <v>33</v>
      </c>
      <c r="H7" s="8">
        <v>46195</v>
      </c>
      <c r="I7" s="8">
        <f>H7+G7</f>
        <v>46228</v>
      </c>
      <c r="J7" s="5" t="str">
        <f t="shared" ca="1" si="1"/>
        <v>+ 25</v>
      </c>
      <c r="K7" s="8">
        <v>46177</v>
      </c>
      <c r="L7" s="5" t="str">
        <f t="shared" si="2"/>
        <v>+ 51</v>
      </c>
    </row>
    <row r="8" spans="4:12" x14ac:dyDescent="0.3">
      <c r="D8" s="5">
        <v>5</v>
      </c>
      <c r="E8" s="6" t="s">
        <v>10</v>
      </c>
      <c r="F8" s="7">
        <v>5</v>
      </c>
      <c r="G8" s="7">
        <v>34</v>
      </c>
      <c r="H8" s="8">
        <v>46196</v>
      </c>
      <c r="I8" s="8">
        <f t="shared" si="0"/>
        <v>46230</v>
      </c>
      <c r="J8" s="5" t="str">
        <f t="shared" ca="1" si="1"/>
        <v>+ 27</v>
      </c>
      <c r="K8" s="8">
        <v>46178</v>
      </c>
      <c r="L8" s="5" t="str">
        <f t="shared" si="2"/>
        <v>+ 52</v>
      </c>
    </row>
    <row r="9" spans="4:12" x14ac:dyDescent="0.3">
      <c r="D9" s="5">
        <v>6</v>
      </c>
      <c r="E9" s="6" t="s">
        <v>11</v>
      </c>
      <c r="F9" s="7">
        <v>6</v>
      </c>
      <c r="G9" s="7">
        <v>35</v>
      </c>
      <c r="H9" s="8">
        <v>46197</v>
      </c>
      <c r="I9" s="8">
        <f t="shared" si="0"/>
        <v>46232</v>
      </c>
      <c r="J9" s="5" t="str">
        <f t="shared" ca="1" si="1"/>
        <v>+ 29</v>
      </c>
      <c r="K9" s="8">
        <v>46179</v>
      </c>
      <c r="L9" s="5" t="str">
        <f t="shared" si="2"/>
        <v>+ 53</v>
      </c>
    </row>
    <row r="10" spans="4:12" x14ac:dyDescent="0.3">
      <c r="D10" s="5">
        <v>7</v>
      </c>
      <c r="E10" s="6" t="s">
        <v>12</v>
      </c>
      <c r="F10" s="7">
        <v>7</v>
      </c>
      <c r="G10" s="7">
        <v>36</v>
      </c>
      <c r="H10" s="8">
        <v>46198</v>
      </c>
      <c r="I10" s="8">
        <f t="shared" si="0"/>
        <v>46234</v>
      </c>
      <c r="J10" s="5" t="str">
        <f t="shared" ca="1" si="1"/>
        <v>+ 31</v>
      </c>
      <c r="K10" s="8">
        <v>46180</v>
      </c>
      <c r="L10" s="5" t="str">
        <f t="shared" si="2"/>
        <v>+ 54</v>
      </c>
    </row>
    <row r="11" spans="4:12" x14ac:dyDescent="0.3">
      <c r="D11" s="5">
        <v>8</v>
      </c>
      <c r="E11" s="6" t="s">
        <v>13</v>
      </c>
      <c r="F11" s="7">
        <v>8</v>
      </c>
      <c r="G11" s="7">
        <v>37</v>
      </c>
      <c r="H11" s="8">
        <v>46199</v>
      </c>
      <c r="I11" s="8">
        <f t="shared" si="0"/>
        <v>46236</v>
      </c>
      <c r="J11" s="5" t="str">
        <f t="shared" ca="1" si="1"/>
        <v>+ 33</v>
      </c>
      <c r="K11" s="8">
        <v>46181</v>
      </c>
      <c r="L11" s="5" t="str">
        <f t="shared" si="2"/>
        <v>+ 55</v>
      </c>
    </row>
    <row r="12" spans="4:12" x14ac:dyDescent="0.3">
      <c r="D12" s="5">
        <v>9</v>
      </c>
      <c r="E12" s="6" t="s">
        <v>14</v>
      </c>
      <c r="F12" s="7">
        <v>9</v>
      </c>
      <c r="G12" s="7">
        <v>38</v>
      </c>
      <c r="H12" s="8">
        <v>46200</v>
      </c>
      <c r="I12" s="8">
        <f t="shared" si="0"/>
        <v>46238</v>
      </c>
      <c r="J12" s="5" t="str">
        <f t="shared" ca="1" si="1"/>
        <v>+ 35</v>
      </c>
      <c r="K12" s="8">
        <v>46182</v>
      </c>
      <c r="L12" s="5" t="str">
        <f t="shared" si="2"/>
        <v>+ 56</v>
      </c>
    </row>
    <row r="13" spans="4:12" x14ac:dyDescent="0.3">
      <c r="D13" s="5">
        <v>10</v>
      </c>
      <c r="E13" s="6" t="s">
        <v>15</v>
      </c>
      <c r="F13" s="7">
        <v>10</v>
      </c>
      <c r="G13" s="7">
        <v>39</v>
      </c>
      <c r="H13" s="8">
        <v>46201</v>
      </c>
      <c r="I13" s="8">
        <f t="shared" si="0"/>
        <v>46240</v>
      </c>
      <c r="J13" s="5" t="str">
        <f t="shared" ca="1" si="1"/>
        <v>+ 37</v>
      </c>
      <c r="K13" s="8">
        <v>46183</v>
      </c>
      <c r="L13" s="5" t="str">
        <f t="shared" si="2"/>
        <v>+ 57</v>
      </c>
    </row>
    <row r="14" spans="4:12" x14ac:dyDescent="0.3">
      <c r="D14" s="5">
        <v>11</v>
      </c>
      <c r="E14" s="6" t="s">
        <v>16</v>
      </c>
      <c r="F14" s="7">
        <v>11</v>
      </c>
      <c r="G14" s="7">
        <v>40</v>
      </c>
      <c r="H14" s="8">
        <v>46202</v>
      </c>
      <c r="I14" s="8">
        <f t="shared" si="0"/>
        <v>46242</v>
      </c>
      <c r="J14" s="5" t="str">
        <f t="shared" ca="1" si="1"/>
        <v>+ 39</v>
      </c>
      <c r="K14" s="8">
        <v>46184</v>
      </c>
      <c r="L14" s="5" t="str">
        <f t="shared" si="2"/>
        <v>+ 58</v>
      </c>
    </row>
    <row r="15" spans="4:12" x14ac:dyDescent="0.3">
      <c r="D15" s="5">
        <v>12</v>
      </c>
      <c r="E15" s="6" t="s">
        <v>17</v>
      </c>
      <c r="F15" s="7">
        <v>12</v>
      </c>
      <c r="G15" s="7">
        <v>41</v>
      </c>
      <c r="H15" s="8">
        <v>46203</v>
      </c>
      <c r="I15" s="8">
        <f t="shared" si="0"/>
        <v>46244</v>
      </c>
      <c r="J15" s="5" t="str">
        <f t="shared" ca="1" si="1"/>
        <v>+ 41</v>
      </c>
      <c r="K15" s="8">
        <v>46185</v>
      </c>
      <c r="L15" s="5" t="str">
        <f t="shared" si="2"/>
        <v>+ 59</v>
      </c>
    </row>
    <row r="16" spans="4:12" x14ac:dyDescent="0.3">
      <c r="D16" s="5">
        <v>13</v>
      </c>
      <c r="E16" s="6" t="s">
        <v>18</v>
      </c>
      <c r="F16" s="7">
        <v>13</v>
      </c>
      <c r="G16" s="7">
        <v>42</v>
      </c>
      <c r="H16" s="8">
        <v>46204</v>
      </c>
      <c r="I16" s="8">
        <f t="shared" si="0"/>
        <v>46246</v>
      </c>
      <c r="J16" s="5" t="str">
        <f t="shared" ca="1" si="1"/>
        <v>+ 43</v>
      </c>
      <c r="K16" s="8">
        <v>46186</v>
      </c>
      <c r="L16" s="5" t="str">
        <f t="shared" si="2"/>
        <v>+ 60</v>
      </c>
    </row>
    <row r="17" spans="4:12" x14ac:dyDescent="0.3">
      <c r="D17" s="5">
        <v>14</v>
      </c>
      <c r="E17" s="6" t="s">
        <v>19</v>
      </c>
      <c r="F17" s="7">
        <v>14</v>
      </c>
      <c r="G17" s="7">
        <v>43</v>
      </c>
      <c r="H17" s="8">
        <v>46205</v>
      </c>
      <c r="I17" s="8">
        <f t="shared" si="0"/>
        <v>46248</v>
      </c>
      <c r="J17" s="5" t="str">
        <f t="shared" ca="1" si="1"/>
        <v>+ 45</v>
      </c>
      <c r="K17" s="8">
        <v>46187</v>
      </c>
      <c r="L17" s="5" t="str">
        <f t="shared" si="2"/>
        <v>+ 61</v>
      </c>
    </row>
    <row r="18" spans="4:12" x14ac:dyDescent="0.3">
      <c r="D18" s="5">
        <v>15</v>
      </c>
      <c r="E18" s="6" t="s">
        <v>20</v>
      </c>
      <c r="F18" s="7">
        <v>15</v>
      </c>
      <c r="G18" s="7">
        <v>44</v>
      </c>
      <c r="H18" s="8">
        <v>46206</v>
      </c>
      <c r="I18" s="8">
        <f t="shared" si="0"/>
        <v>46250</v>
      </c>
      <c r="J18" s="5" t="str">
        <f t="shared" ca="1" si="1"/>
        <v>+ 47</v>
      </c>
      <c r="K18" s="8">
        <v>46188</v>
      </c>
      <c r="L18" s="5" t="str">
        <f t="shared" si="2"/>
        <v>+ 62</v>
      </c>
    </row>
    <row r="19" spans="4:12" x14ac:dyDescent="0.3">
      <c r="D19" s="5">
        <v>16</v>
      </c>
      <c r="E19" s="6" t="s">
        <v>21</v>
      </c>
      <c r="F19" s="7">
        <v>16</v>
      </c>
      <c r="G19" s="7">
        <v>45</v>
      </c>
      <c r="H19" s="8">
        <v>46207</v>
      </c>
      <c r="I19" s="8">
        <f t="shared" si="0"/>
        <v>46252</v>
      </c>
      <c r="J19" s="5" t="str">
        <f t="shared" ca="1" si="1"/>
        <v>+ 49</v>
      </c>
      <c r="K19" s="8">
        <v>46189</v>
      </c>
      <c r="L19" s="5" t="str">
        <f t="shared" si="2"/>
        <v>+ 63</v>
      </c>
    </row>
    <row r="20" spans="4:12" x14ac:dyDescent="0.3">
      <c r="D20" s="5">
        <v>17</v>
      </c>
      <c r="E20" s="6" t="s">
        <v>22</v>
      </c>
      <c r="F20" s="7">
        <v>17</v>
      </c>
      <c r="G20" s="7">
        <v>46</v>
      </c>
      <c r="H20" s="8">
        <v>46208</v>
      </c>
      <c r="I20" s="8">
        <f t="shared" si="0"/>
        <v>46254</v>
      </c>
      <c r="J20" s="5" t="str">
        <f t="shared" ca="1" si="1"/>
        <v>+ 51</v>
      </c>
      <c r="K20" s="8">
        <v>46190</v>
      </c>
      <c r="L20" s="5" t="str">
        <f t="shared" si="2"/>
        <v>+ 64</v>
      </c>
    </row>
    <row r="21" spans="4:12" x14ac:dyDescent="0.3">
      <c r="D21" s="5">
        <v>18</v>
      </c>
      <c r="E21" s="6" t="s">
        <v>23</v>
      </c>
      <c r="F21" s="7">
        <v>18</v>
      </c>
      <c r="G21" s="7">
        <v>47</v>
      </c>
      <c r="H21" s="8">
        <v>46209</v>
      </c>
      <c r="I21" s="8">
        <f t="shared" si="0"/>
        <v>46256</v>
      </c>
      <c r="J21" s="5" t="str">
        <f t="shared" ca="1" si="1"/>
        <v>+ 53</v>
      </c>
      <c r="K21" s="8">
        <v>46191</v>
      </c>
      <c r="L21" s="5" t="str">
        <f t="shared" si="2"/>
        <v>+ 65</v>
      </c>
    </row>
    <row r="22" spans="4:12" x14ac:dyDescent="0.3">
      <c r="D22" s="5">
        <v>19</v>
      </c>
      <c r="E22" s="6" t="s">
        <v>24</v>
      </c>
      <c r="F22" s="7">
        <v>19</v>
      </c>
      <c r="G22" s="7">
        <v>48</v>
      </c>
      <c r="H22" s="8">
        <v>46210</v>
      </c>
      <c r="I22" s="8">
        <f t="shared" si="0"/>
        <v>46258</v>
      </c>
      <c r="J22" s="5" t="str">
        <f t="shared" ca="1" si="1"/>
        <v>+ 55</v>
      </c>
      <c r="K22" s="8">
        <v>46192</v>
      </c>
      <c r="L22" s="5" t="str">
        <f t="shared" si="2"/>
        <v>+ 66</v>
      </c>
    </row>
    <row r="23" spans="4:12" x14ac:dyDescent="0.3">
      <c r="D23" s="5">
        <v>20</v>
      </c>
      <c r="E23" s="6" t="s">
        <v>25</v>
      </c>
      <c r="F23" s="7">
        <v>20</v>
      </c>
      <c r="G23" s="7">
        <v>49</v>
      </c>
      <c r="H23" s="8">
        <v>46211</v>
      </c>
      <c r="I23" s="8">
        <f t="shared" si="0"/>
        <v>46260</v>
      </c>
      <c r="J23" s="5" t="str">
        <f t="shared" ca="1" si="1"/>
        <v>+ 57</v>
      </c>
      <c r="K23" s="8">
        <v>46193</v>
      </c>
      <c r="L23" s="5" t="str">
        <f t="shared" si="2"/>
        <v>+ 67</v>
      </c>
    </row>
  </sheetData>
  <phoneticPr fontId="1" type="noConversion"/>
  <conditionalFormatting sqref="J4:J23">
    <cfRule type="expression" dxfId="8" priority="4">
      <formula>$I4-TODAY()&lt;0</formula>
    </cfRule>
    <cfRule type="expression" dxfId="7" priority="5">
      <formula>AND($I4-TODAY()&gt;0,$I4-TODAY()&lt;=10)</formula>
    </cfRule>
    <cfRule type="expression" dxfId="6" priority="8">
      <formula>I4-TODAY()&gt;10</formula>
    </cfRule>
  </conditionalFormatting>
  <conditionalFormatting sqref="L4:L23">
    <cfRule type="expression" dxfId="5" priority="1">
      <formula>I4-$K4&gt;10</formula>
    </cfRule>
    <cfRule type="expression" dxfId="4" priority="2">
      <formula>AND($I4-$K4&gt;0,$I4-$K4&lt;=10)</formula>
    </cfRule>
    <cfRule type="expression" dxfId="3" priority="3">
      <formula>$I4-$K4&lt;0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Vu</dc:creator>
  <cp:lastModifiedBy>Giang Vu</cp:lastModifiedBy>
  <dcterms:created xsi:type="dcterms:W3CDTF">2015-06-05T18:17:20Z</dcterms:created>
  <dcterms:modified xsi:type="dcterms:W3CDTF">2026-06-30T10:58:45Z</dcterms:modified>
</cp:coreProperties>
</file>